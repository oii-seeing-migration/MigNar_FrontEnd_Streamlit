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BBrindle\Downloads\"/>
    </mc:Choice>
  </mc:AlternateContent>
  <xr:revisionPtr revIDLastSave="0" documentId="8_{63D78462-79EF-43B0-A552-D0B970F95778}" xr6:coauthVersionLast="47" xr6:coauthVersionMax="47" xr10:uidLastSave="{00000000-0000-0000-0000-000000000000}"/>
  <bookViews>
    <workbookView xWindow="-110" yWindow="-110" windowWidth="19420" windowHeight="11500" tabRatio="708" xr2:uid="{00000000-000D-0000-FFFF-FFFF00000000}"/>
  </bookViews>
  <sheets>
    <sheet name="Conviction rates" sheetId="4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34" i="44" l="1"/>
  <c r="I35" i="44"/>
  <c r="I36" i="44"/>
  <c r="I37" i="44"/>
  <c r="I38" i="44"/>
  <c r="I39" i="44"/>
  <c r="I40" i="44"/>
  <c r="I41" i="44"/>
  <c r="I42" i="44"/>
  <c r="I43" i="44"/>
  <c r="I44" i="44"/>
  <c r="I45" i="44"/>
  <c r="I46" i="44"/>
  <c r="I47" i="44"/>
  <c r="I48" i="44"/>
  <c r="F32" i="44" l="1"/>
  <c r="I32" i="44" s="1"/>
  <c r="F16" i="44"/>
  <c r="I16" i="44" s="1"/>
  <c r="F2" i="44" l="1"/>
  <c r="I2" i="44" s="1"/>
  <c r="F3" i="44"/>
  <c r="I3" i="44" s="1"/>
  <c r="F4" i="44"/>
  <c r="I4" i="44" s="1"/>
  <c r="F5" i="44"/>
  <c r="I5" i="44" s="1"/>
  <c r="F6" i="44"/>
  <c r="I6" i="44" s="1"/>
  <c r="F7" i="44"/>
  <c r="I7" i="44" s="1"/>
  <c r="F8" i="44"/>
  <c r="I8" i="44" s="1"/>
  <c r="F9" i="44"/>
  <c r="I9" i="44" s="1"/>
  <c r="F10" i="44"/>
  <c r="I10" i="44" s="1"/>
  <c r="F11" i="44"/>
  <c r="I11" i="44" s="1"/>
  <c r="F12" i="44"/>
  <c r="I12" i="44" s="1"/>
  <c r="F13" i="44"/>
  <c r="I13" i="44" s="1"/>
  <c r="F14" i="44"/>
  <c r="I14" i="44" s="1"/>
  <c r="F15" i="44"/>
  <c r="I15" i="44" s="1"/>
  <c r="F31" i="44"/>
  <c r="I31" i="44" s="1"/>
  <c r="F30" i="44"/>
  <c r="I30" i="44" s="1"/>
  <c r="F29" i="44"/>
  <c r="I29" i="44" s="1"/>
  <c r="F28" i="44"/>
  <c r="I28" i="44" s="1"/>
  <c r="F27" i="44"/>
  <c r="I27" i="44" s="1"/>
  <c r="F26" i="44"/>
  <c r="I26" i="44" s="1"/>
  <c r="F25" i="44"/>
  <c r="I25" i="44" s="1"/>
  <c r="F24" i="44"/>
  <c r="I24" i="44" s="1"/>
  <c r="F23" i="44"/>
  <c r="I23" i="44" s="1"/>
  <c r="F22" i="44"/>
  <c r="I22" i="44" s="1"/>
  <c r="F21" i="44"/>
  <c r="I21" i="44" s="1"/>
  <c r="F20" i="44"/>
  <c r="I20" i="44" s="1"/>
  <c r="F19" i="44"/>
  <c r="I19" i="44" s="1"/>
  <c r="F18" i="44"/>
  <c r="I18" i="44" s="1"/>
</calcChain>
</file>

<file path=xl/sharedStrings.xml><?xml version="1.0" encoding="utf-8"?>
<sst xmlns="http://schemas.openxmlformats.org/spreadsheetml/2006/main" count="98" uniqueCount="12">
  <si>
    <t>Number</t>
  </si>
  <si>
    <t>Share</t>
  </si>
  <si>
    <t>Offence</t>
  </si>
  <si>
    <t>Year</t>
  </si>
  <si>
    <t>Total</t>
  </si>
  <si>
    <t>Convictions</t>
  </si>
  <si>
    <t>All offences</t>
  </si>
  <si>
    <t>Sexual offences</t>
  </si>
  <si>
    <t>Category</t>
  </si>
  <si>
    <t>Population share</t>
  </si>
  <si>
    <t>Diff vs. conv share</t>
  </si>
  <si>
    <t>Violence against the person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</si>
</sst>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&quot; &quot;#,##0.00&quot; &quot;;&quot;-&quot;#,##0.00&quot; &quot;;&quot; -&quot;00&quot; &quot;;&quot; &quot;@&quot; &quot;"/>
  </numFmts>
  <fonts count="10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2"/>
      <color rgb="FF000000"/>
      <name val="Arial"/>
      <family val="2"/>
    </font>
    <font>
      <sz val="10"/>
      <name val="Arial"/>
      <family val="2"/>
    </font>
    <font>
      <sz val="12"/>
      <color theme="1"/>
      <name val="Arial"/>
      <family val="2"/>
    </font>
    <font>
      <u/>
      <sz val="11"/>
      <color rgb="FF0563C1"/>
      <name val="Calibri"/>
      <family val="2"/>
    </font>
    <font>
      <u/>
      <sz val="12"/>
      <color theme="10"/>
      <name val="Arial"/>
      <family val="2"/>
    </font>
    <font>
      <u/>
      <sz val="10"/>
      <color rgb="FF0000FF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1">
    <xf numFmtId="0" fontId="0" fillId="0" borderId="0"/>
    <xf numFmtId="9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0" fontId="3" fillId="0" borderId="0" applyNumberFormat="0" applyFont="0" applyBorder="0" applyProtection="0"/>
    <xf numFmtId="0" fontId="3" fillId="0" borderId="0" applyNumberFormat="0" applyFont="0" applyBorder="0" applyProtection="0"/>
    <xf numFmtId="0" fontId="4" fillId="0" borderId="0"/>
    <xf numFmtId="0" fontId="5" fillId="0" borderId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/>
  </cellStyleXfs>
  <cellXfs count="14">
    <xf numFmtId="0" fontId="0" fillId="0" borderId="0" xfId="0"/>
    <xf numFmtId="0" fontId="2" fillId="0" borderId="0" xfId="0" applyFont="1"/>
    <xf numFmtId="0" fontId="0" fillId="2" borderId="0" xfId="0" applyFill="1"/>
    <xf numFmtId="0" fontId="0" fillId="0" borderId="0" xfId="0" applyFill="1"/>
    <xf numFmtId="164" fontId="0" fillId="2" borderId="0" xfId="1" applyNumberFormat="1" applyFont="1" applyFill="1"/>
    <xf numFmtId="164" fontId="0" fillId="0" borderId="0" xfId="1" applyNumberFormat="1" applyFont="1" applyFill="1"/>
    <xf numFmtId="3" fontId="0" fillId="2" borderId="0" xfId="0" applyNumberFormat="1" applyFill="1"/>
    <xf numFmtId="3" fontId="0" fillId="0" borderId="0" xfId="0" applyNumberFormat="1" applyFill="1"/>
    <xf numFmtId="3" fontId="0" fillId="2" borderId="0" xfId="1" applyNumberFormat="1" applyFont="1" applyFill="1"/>
    <xf numFmtId="3" fontId="0" fillId="0" borderId="0" xfId="1" applyNumberFormat="1" applyFont="1" applyFill="1"/>
    <xf numFmtId="164" fontId="0" fillId="2" borderId="0" xfId="0" applyNumberFormat="1" applyFill="1"/>
    <xf numFmtId="164" fontId="0" fillId="0" borderId="0" xfId="0" applyNumberFormat="1" applyFill="1"/>
    <xf numFmtId="3" fontId="0" fillId="0" borderId="0" xfId="0" applyNumberFormat="1"/>
    <xf numFmtId="164" fontId="0" fillId="0" borderId="0" xfId="1" applyNumberFormat="1" applyFont="1"/>
  </cellXfs>
  <cellStyles count="11">
    <cellStyle name="Comma 5" xfId="3" xr:uid="{B94B881F-D3AE-46DA-805E-31878C052A40}"/>
    <cellStyle name="Hyperlink 2 2 2" xfId="10" xr:uid="{7933961C-0BFC-4E72-96AA-F158EDD6F1D9}"/>
    <cellStyle name="Hyperlink 3" xfId="9" xr:uid="{904634FD-BB9C-424A-BD49-116ED0C82A1F}"/>
    <cellStyle name="Hyperlink 3 2" xfId="8" xr:uid="{C8F22028-5A3C-44FC-81D1-798B0293992F}"/>
    <cellStyle name="Normal" xfId="0" builtinId="0"/>
    <cellStyle name="Normal 2" xfId="2" xr:uid="{00000000-0005-0000-0000-000001000000}"/>
    <cellStyle name="Normal 2 2" xfId="7" xr:uid="{A1C1D490-2212-4408-BC02-AE7766E737AF}"/>
    <cellStyle name="Normal 2 5" xfId="5" xr:uid="{148461A0-D403-4FD7-941E-3A52E7A0C636}"/>
    <cellStyle name="Normal 3" xfId="6" xr:uid="{314376D3-20CA-4FC7-AD2E-F51D0884D751}"/>
    <cellStyle name="Normal 5" xfId="4" xr:uid="{D2673FD1-BF30-4C57-9967-510CB91B272E}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85F3C-B9C0-4358-98BF-DC2AA01A4783}">
  <dimension ref="A1:I48"/>
  <sheetViews>
    <sheetView tabSelected="1" workbookViewId="0">
      <pane ySplit="1" topLeftCell="A26" activePane="bottomLeft" state="frozen"/>
      <selection pane="bottomLeft" activeCell="H42" sqref="H42"/>
    </sheetView>
  </sheetViews>
  <sheetFormatPr defaultRowHeight="12.5" x14ac:dyDescent="0.25"/>
  <cols>
    <col min="1" max="1" width="24.6328125" bestFit="1" customWidth="1"/>
    <col min="2" max="2" width="24.6328125" customWidth="1"/>
    <col min="4" max="4" width="12.54296875" customWidth="1"/>
    <col min="5" max="5" width="12" customWidth="1"/>
    <col min="8" max="8" width="15.81640625" bestFit="1" customWidth="1"/>
    <col min="9" max="9" width="17.1796875" bestFit="1" customWidth="1"/>
  </cols>
  <sheetData>
    <row r="1" spans="1:9" ht="13" x14ac:dyDescent="0.3">
      <c r="A1" s="1" t="s">
        <v>8</v>
      </c>
      <c r="B1" s="1" t="s">
        <v>2</v>
      </c>
      <c r="C1" s="1" t="s">
        <v>3</v>
      </c>
      <c r="D1" s="1" t="s">
        <v>0</v>
      </c>
      <c r="E1" s="1" t="s">
        <v>4</v>
      </c>
      <c r="F1" s="1" t="s">
        <v>1</v>
      </c>
      <c r="H1" s="1" t="s">
        <v>9</v>
      </c>
      <c r="I1" s="1" t="s">
        <v>10</v>
      </c>
    </row>
    <row r="2" spans="1:9" x14ac:dyDescent="0.25">
      <c r="A2" s="2" t="s">
        <v>5</v>
      </c>
      <c r="B2" s="2" t="s">
        <v>6</v>
      </c>
      <c r="C2" s="2">
        <v>2010</v>
      </c>
      <c r="D2" s="6">
        <v>89473</v>
      </c>
      <c r="E2" s="8">
        <v>819584</v>
      </c>
      <c r="F2" s="4">
        <f>D2/E2</f>
        <v>0.10916879782914259</v>
      </c>
      <c r="H2" s="4">
        <v>8.1182888212455478E-2</v>
      </c>
      <c r="I2" s="10">
        <f>F2-H2</f>
        <v>2.7985909616687107E-2</v>
      </c>
    </row>
    <row r="3" spans="1:9" x14ac:dyDescent="0.25">
      <c r="A3" s="2" t="s">
        <v>5</v>
      </c>
      <c r="B3" s="2" t="s">
        <v>6</v>
      </c>
      <c r="C3" s="2">
        <v>2011</v>
      </c>
      <c r="D3" s="6">
        <v>86332</v>
      </c>
      <c r="E3" s="8">
        <v>778319</v>
      </c>
      <c r="F3" s="4">
        <f t="shared" ref="F3:F14" si="0">D3/E3</f>
        <v>0.11092110047422715</v>
      </c>
      <c r="H3" s="4">
        <v>8.6628160748323191E-2</v>
      </c>
      <c r="I3" s="10">
        <f t="shared" ref="I3:I32" si="1">F3-H3</f>
        <v>2.4292939725903961E-2</v>
      </c>
    </row>
    <row r="4" spans="1:9" x14ac:dyDescent="0.25">
      <c r="A4" s="2" t="s">
        <v>5</v>
      </c>
      <c r="B4" s="2" t="s">
        <v>6</v>
      </c>
      <c r="C4" s="2">
        <v>2012</v>
      </c>
      <c r="D4" s="6">
        <v>80174</v>
      </c>
      <c r="E4" s="8">
        <v>702484</v>
      </c>
      <c r="F4" s="4">
        <f t="shared" si="0"/>
        <v>0.11412928977741842</v>
      </c>
      <c r="H4" s="4">
        <v>8.5759141250755067E-2</v>
      </c>
      <c r="I4" s="10">
        <f t="shared" si="1"/>
        <v>2.837014852666335E-2</v>
      </c>
    </row>
    <row r="5" spans="1:9" x14ac:dyDescent="0.25">
      <c r="A5" s="2" t="s">
        <v>5</v>
      </c>
      <c r="B5" s="2" t="s">
        <v>6</v>
      </c>
      <c r="C5" s="2">
        <v>2013</v>
      </c>
      <c r="D5" s="6">
        <v>77665</v>
      </c>
      <c r="E5" s="8">
        <v>652844</v>
      </c>
      <c r="F5" s="4">
        <f t="shared" si="0"/>
        <v>0.11896410168432275</v>
      </c>
      <c r="H5" s="4">
        <v>8.7033166630137909E-2</v>
      </c>
      <c r="I5" s="10">
        <f t="shared" si="1"/>
        <v>3.1930935054184845E-2</v>
      </c>
    </row>
    <row r="6" spans="1:9" x14ac:dyDescent="0.25">
      <c r="A6" s="2" t="s">
        <v>5</v>
      </c>
      <c r="B6" s="2" t="s">
        <v>6</v>
      </c>
      <c r="C6" s="2">
        <v>2014</v>
      </c>
      <c r="D6" s="6">
        <v>73388</v>
      </c>
      <c r="E6" s="8">
        <v>615563</v>
      </c>
      <c r="F6" s="4">
        <f t="shared" si="0"/>
        <v>0.11922094082977697</v>
      </c>
      <c r="H6" s="4">
        <v>9.2083608390395588E-2</v>
      </c>
      <c r="I6" s="10">
        <f t="shared" si="1"/>
        <v>2.7137332439381379E-2</v>
      </c>
    </row>
    <row r="7" spans="1:9" x14ac:dyDescent="0.25">
      <c r="A7" s="2" t="s">
        <v>5</v>
      </c>
      <c r="B7" s="2" t="s">
        <v>6</v>
      </c>
      <c r="C7" s="2">
        <v>2015</v>
      </c>
      <c r="D7" s="6">
        <v>70021</v>
      </c>
      <c r="E7" s="8">
        <v>570154</v>
      </c>
      <c r="F7" s="4">
        <f t="shared" si="0"/>
        <v>0.1228106792200002</v>
      </c>
      <c r="H7" s="4">
        <v>9.5188144880089073E-2</v>
      </c>
      <c r="I7" s="10">
        <f t="shared" si="1"/>
        <v>2.7622534339911131E-2</v>
      </c>
    </row>
    <row r="8" spans="1:9" x14ac:dyDescent="0.25">
      <c r="A8" s="2" t="s">
        <v>5</v>
      </c>
      <c r="B8" s="2" t="s">
        <v>6</v>
      </c>
      <c r="C8" s="2">
        <v>2016</v>
      </c>
      <c r="D8" s="6">
        <v>65558</v>
      </c>
      <c r="E8" s="8">
        <v>529524</v>
      </c>
      <c r="F8" s="4">
        <f t="shared" si="0"/>
        <v>0.12380553100520468</v>
      </c>
      <c r="H8" s="4">
        <v>0.10049573308863879</v>
      </c>
      <c r="I8" s="10">
        <f t="shared" si="1"/>
        <v>2.3309797916565886E-2</v>
      </c>
    </row>
    <row r="9" spans="1:9" x14ac:dyDescent="0.25">
      <c r="A9" s="2" t="s">
        <v>5</v>
      </c>
      <c r="B9" s="2" t="s">
        <v>6</v>
      </c>
      <c r="C9" s="2">
        <v>2017</v>
      </c>
      <c r="D9" s="6">
        <v>55388</v>
      </c>
      <c r="E9" s="8">
        <v>468701</v>
      </c>
      <c r="F9" s="4">
        <f t="shared" si="0"/>
        <v>0.11817341972814224</v>
      </c>
      <c r="H9" s="4">
        <v>0.1028561506274471</v>
      </c>
      <c r="I9" s="10">
        <f t="shared" si="1"/>
        <v>1.5317269100695141E-2</v>
      </c>
    </row>
    <row r="10" spans="1:9" x14ac:dyDescent="0.25">
      <c r="A10" s="2" t="s">
        <v>5</v>
      </c>
      <c r="B10" s="2" t="s">
        <v>6</v>
      </c>
      <c r="C10" s="2">
        <v>2018</v>
      </c>
      <c r="D10" s="6">
        <v>48850</v>
      </c>
      <c r="E10" s="8">
        <v>422030</v>
      </c>
      <c r="F10" s="4">
        <f t="shared" si="0"/>
        <v>0.11575006516124446</v>
      </c>
      <c r="H10" s="4">
        <v>0.1018436592703251</v>
      </c>
      <c r="I10" s="10">
        <f t="shared" si="1"/>
        <v>1.3906405890919363E-2</v>
      </c>
    </row>
    <row r="11" spans="1:9" x14ac:dyDescent="0.25">
      <c r="A11" s="2" t="s">
        <v>5</v>
      </c>
      <c r="B11" s="2" t="s">
        <v>6</v>
      </c>
      <c r="C11" s="2">
        <v>2019</v>
      </c>
      <c r="D11" s="6">
        <v>46788</v>
      </c>
      <c r="E11" s="8">
        <v>393555</v>
      </c>
      <c r="F11" s="4">
        <f t="shared" si="0"/>
        <v>0.11888554331669017</v>
      </c>
      <c r="H11" s="4">
        <v>0.10321050830848251</v>
      </c>
      <c r="I11" s="10">
        <f t="shared" si="1"/>
        <v>1.5675035008207661E-2</v>
      </c>
    </row>
    <row r="12" spans="1:9" x14ac:dyDescent="0.25">
      <c r="A12" s="2" t="s">
        <v>5</v>
      </c>
      <c r="B12" s="2" t="s">
        <v>6</v>
      </c>
      <c r="C12" s="2">
        <v>2020</v>
      </c>
      <c r="D12" s="6">
        <v>36791</v>
      </c>
      <c r="E12" s="8">
        <v>309290</v>
      </c>
      <c r="F12" s="4">
        <f t="shared" si="0"/>
        <v>0.11895308610042354</v>
      </c>
      <c r="H12" s="4">
        <v>9.8955878029023281E-2</v>
      </c>
      <c r="I12" s="10">
        <f t="shared" si="1"/>
        <v>1.9997208071400263E-2</v>
      </c>
    </row>
    <row r="13" spans="1:9" x14ac:dyDescent="0.25">
      <c r="A13" s="2" t="s">
        <v>5</v>
      </c>
      <c r="B13" s="2" t="s">
        <v>6</v>
      </c>
      <c r="C13" s="2">
        <v>2021</v>
      </c>
      <c r="D13" s="6">
        <v>40841</v>
      </c>
      <c r="E13" s="8">
        <v>330740</v>
      </c>
      <c r="F13" s="4">
        <f t="shared" si="0"/>
        <v>0.12348370321098144</v>
      </c>
      <c r="H13" s="4">
        <v>0.10018646420204926</v>
      </c>
      <c r="I13" s="10">
        <f t="shared" si="1"/>
        <v>2.3297239008932186E-2</v>
      </c>
    </row>
    <row r="14" spans="1:9" x14ac:dyDescent="0.25">
      <c r="A14" s="2" t="s">
        <v>5</v>
      </c>
      <c r="B14" s="2" t="s">
        <v>6</v>
      </c>
      <c r="C14" s="2">
        <v>2022</v>
      </c>
      <c r="D14" s="6">
        <v>39612</v>
      </c>
      <c r="E14" s="8">
        <v>315196</v>
      </c>
      <c r="F14" s="4">
        <f t="shared" si="0"/>
        <v>0.12567418368253405</v>
      </c>
      <c r="H14" s="4">
        <v>0.10777197980919767</v>
      </c>
      <c r="I14" s="10">
        <f t="shared" si="1"/>
        <v>1.7902203873336381E-2</v>
      </c>
    </row>
    <row r="15" spans="1:9" x14ac:dyDescent="0.25">
      <c r="A15" s="2" t="s">
        <v>5</v>
      </c>
      <c r="B15" s="2" t="s">
        <v>6</v>
      </c>
      <c r="C15" s="2">
        <v>2023</v>
      </c>
      <c r="D15" s="6">
        <v>40732</v>
      </c>
      <c r="E15" s="8">
        <v>314831</v>
      </c>
      <c r="F15" s="4">
        <f>D15/E15</f>
        <v>0.12937734848220156</v>
      </c>
      <c r="H15" s="4">
        <v>0.11178779379920495</v>
      </c>
      <c r="I15" s="10">
        <f t="shared" si="1"/>
        <v>1.7589554682996611E-2</v>
      </c>
    </row>
    <row r="16" spans="1:9" x14ac:dyDescent="0.25">
      <c r="A16" s="2" t="s">
        <v>5</v>
      </c>
      <c r="B16" s="2" t="s">
        <v>6</v>
      </c>
      <c r="C16" s="2">
        <v>2024</v>
      </c>
      <c r="D16" s="6">
        <v>43268</v>
      </c>
      <c r="E16" s="8">
        <v>330394</v>
      </c>
      <c r="F16" s="4">
        <f>D16/E16</f>
        <v>0.13095879465123458</v>
      </c>
      <c r="H16" s="4">
        <v>0.11639984949382383</v>
      </c>
      <c r="I16" s="10">
        <f t="shared" si="1"/>
        <v>1.4558945157410755E-2</v>
      </c>
    </row>
    <row r="17" spans="1:9" s="3" customFormat="1" x14ac:dyDescent="0.25">
      <c r="D17" s="7"/>
      <c r="E17" s="9"/>
      <c r="F17" s="5"/>
      <c r="H17" s="5"/>
      <c r="I17" s="11"/>
    </row>
    <row r="18" spans="1:9" x14ac:dyDescent="0.25">
      <c r="A18" s="3" t="s">
        <v>5</v>
      </c>
      <c r="B18" s="3" t="s">
        <v>7</v>
      </c>
      <c r="C18" s="3">
        <v>2010</v>
      </c>
      <c r="D18" s="7">
        <v>883</v>
      </c>
      <c r="E18" s="9">
        <v>6811</v>
      </c>
      <c r="F18" s="5">
        <f>D18/E18</f>
        <v>0.12964322419615329</v>
      </c>
      <c r="G18" s="3"/>
      <c r="H18" s="5">
        <v>8.1182888212455478E-2</v>
      </c>
      <c r="I18" s="11">
        <f t="shared" si="1"/>
        <v>4.8460335983697811E-2</v>
      </c>
    </row>
    <row r="19" spans="1:9" x14ac:dyDescent="0.25">
      <c r="A19" s="3" t="s">
        <v>5</v>
      </c>
      <c r="B19" s="3" t="s">
        <v>7</v>
      </c>
      <c r="C19" s="3">
        <v>2011</v>
      </c>
      <c r="D19" s="7">
        <v>924</v>
      </c>
      <c r="E19" s="9">
        <v>6781</v>
      </c>
      <c r="F19" s="5">
        <f t="shared" ref="F19:F30" si="2">D19/E19</f>
        <v>0.13626308804011208</v>
      </c>
      <c r="G19" s="3"/>
      <c r="H19" s="5">
        <v>8.6628160748323191E-2</v>
      </c>
      <c r="I19" s="11">
        <f t="shared" si="1"/>
        <v>4.9634927291788894E-2</v>
      </c>
    </row>
    <row r="20" spans="1:9" x14ac:dyDescent="0.25">
      <c r="A20" s="3" t="s">
        <v>5</v>
      </c>
      <c r="B20" s="3" t="s">
        <v>7</v>
      </c>
      <c r="C20" s="3">
        <v>2012</v>
      </c>
      <c r="D20" s="7">
        <v>979</v>
      </c>
      <c r="E20" s="9">
        <v>6748</v>
      </c>
      <c r="F20" s="5">
        <f t="shared" si="2"/>
        <v>0.14508002371072912</v>
      </c>
      <c r="G20" s="3"/>
      <c r="H20" s="5">
        <v>8.5759141250755067E-2</v>
      </c>
      <c r="I20" s="11">
        <f t="shared" si="1"/>
        <v>5.932088245997405E-2</v>
      </c>
    </row>
    <row r="21" spans="1:9" x14ac:dyDescent="0.25">
      <c r="A21" s="3" t="s">
        <v>5</v>
      </c>
      <c r="B21" s="3" t="s">
        <v>7</v>
      </c>
      <c r="C21" s="3">
        <v>2013</v>
      </c>
      <c r="D21" s="7">
        <v>1047</v>
      </c>
      <c r="E21" s="9">
        <v>6613</v>
      </c>
      <c r="F21" s="5">
        <f t="shared" si="2"/>
        <v>0.15832451232420988</v>
      </c>
      <c r="G21" s="3"/>
      <c r="H21" s="5">
        <v>8.7033166630137909E-2</v>
      </c>
      <c r="I21" s="11">
        <f t="shared" si="1"/>
        <v>7.1291345694071973E-2</v>
      </c>
    </row>
    <row r="22" spans="1:9" x14ac:dyDescent="0.25">
      <c r="A22" s="3" t="s">
        <v>5</v>
      </c>
      <c r="B22" s="3" t="s">
        <v>7</v>
      </c>
      <c r="C22" s="3">
        <v>2014</v>
      </c>
      <c r="D22" s="7">
        <v>1086</v>
      </c>
      <c r="E22" s="9">
        <v>6949</v>
      </c>
      <c r="F22" s="5">
        <f t="shared" si="2"/>
        <v>0.1562814793495467</v>
      </c>
      <c r="G22" s="3"/>
      <c r="H22" s="5">
        <v>9.2083608390395588E-2</v>
      </c>
      <c r="I22" s="11">
        <f t="shared" si="1"/>
        <v>6.419787095915111E-2</v>
      </c>
    </row>
    <row r="23" spans="1:9" x14ac:dyDescent="0.25">
      <c r="A23" s="3" t="s">
        <v>5</v>
      </c>
      <c r="B23" s="3" t="s">
        <v>7</v>
      </c>
      <c r="C23" s="3">
        <v>2015</v>
      </c>
      <c r="D23" s="7">
        <v>1187</v>
      </c>
      <c r="E23" s="9">
        <v>7424</v>
      </c>
      <c r="F23" s="5">
        <f t="shared" si="2"/>
        <v>0.15988685344827586</v>
      </c>
      <c r="G23" s="3"/>
      <c r="H23" s="5">
        <v>9.5188144880089073E-2</v>
      </c>
      <c r="I23" s="11">
        <f t="shared" si="1"/>
        <v>6.4698708568186783E-2</v>
      </c>
    </row>
    <row r="24" spans="1:9" x14ac:dyDescent="0.25">
      <c r="A24" s="3" t="s">
        <v>5</v>
      </c>
      <c r="B24" s="3" t="s">
        <v>7</v>
      </c>
      <c r="C24" s="3">
        <v>2016</v>
      </c>
      <c r="D24" s="7">
        <v>1239</v>
      </c>
      <c r="E24" s="9">
        <v>7988</v>
      </c>
      <c r="F24" s="5">
        <f t="shared" si="2"/>
        <v>0.15510766149223837</v>
      </c>
      <c r="G24" s="3"/>
      <c r="H24" s="5">
        <v>0.10049573308863879</v>
      </c>
      <c r="I24" s="11">
        <f t="shared" si="1"/>
        <v>5.4611928403599574E-2</v>
      </c>
    </row>
    <row r="25" spans="1:9" x14ac:dyDescent="0.25">
      <c r="A25" s="3" t="s">
        <v>5</v>
      </c>
      <c r="B25" s="3" t="s">
        <v>7</v>
      </c>
      <c r="C25" s="3">
        <v>2017</v>
      </c>
      <c r="D25" s="7">
        <v>1159</v>
      </c>
      <c r="E25" s="9">
        <v>7305</v>
      </c>
      <c r="F25" s="5">
        <f t="shared" si="2"/>
        <v>0.15865845311430526</v>
      </c>
      <c r="G25" s="3"/>
      <c r="H25" s="5">
        <v>0.1028561506274471</v>
      </c>
      <c r="I25" s="11">
        <f t="shared" si="1"/>
        <v>5.5802302486858163E-2</v>
      </c>
    </row>
    <row r="26" spans="1:9" x14ac:dyDescent="0.25">
      <c r="A26" s="3" t="s">
        <v>5</v>
      </c>
      <c r="B26" s="3" t="s">
        <v>7</v>
      </c>
      <c r="C26" s="3">
        <v>2018</v>
      </c>
      <c r="D26" s="7">
        <v>901</v>
      </c>
      <c r="E26" s="9">
        <v>6197</v>
      </c>
      <c r="F26" s="5">
        <f t="shared" si="2"/>
        <v>0.14539293206390189</v>
      </c>
      <c r="G26" s="3"/>
      <c r="H26" s="5">
        <v>0.1018436592703251</v>
      </c>
      <c r="I26" s="11">
        <f t="shared" si="1"/>
        <v>4.3549272793576788E-2</v>
      </c>
    </row>
    <row r="27" spans="1:9" x14ac:dyDescent="0.25">
      <c r="A27" s="3" t="s">
        <v>5</v>
      </c>
      <c r="B27" s="3" t="s">
        <v>7</v>
      </c>
      <c r="C27" s="3">
        <v>2019</v>
      </c>
      <c r="D27" s="7">
        <v>774</v>
      </c>
      <c r="E27" s="9">
        <v>5014</v>
      </c>
      <c r="F27" s="5">
        <f t="shared" si="2"/>
        <v>0.15436777024331871</v>
      </c>
      <c r="G27" s="3"/>
      <c r="H27" s="5">
        <v>0.10321050830848251</v>
      </c>
      <c r="I27" s="11">
        <f t="shared" si="1"/>
        <v>5.1157261934836204E-2</v>
      </c>
    </row>
    <row r="28" spans="1:9" x14ac:dyDescent="0.25">
      <c r="A28" s="3" t="s">
        <v>5</v>
      </c>
      <c r="B28" s="3" t="s">
        <v>7</v>
      </c>
      <c r="C28" s="3">
        <v>2020</v>
      </c>
      <c r="D28" s="7">
        <v>553</v>
      </c>
      <c r="E28" s="9">
        <v>3985</v>
      </c>
      <c r="F28" s="5">
        <f t="shared" si="2"/>
        <v>0.13877038895859473</v>
      </c>
      <c r="G28" s="3"/>
      <c r="H28" s="5">
        <v>9.8955878029023281E-2</v>
      </c>
      <c r="I28" s="11">
        <f t="shared" si="1"/>
        <v>3.9814510929571445E-2</v>
      </c>
    </row>
    <row r="29" spans="1:9" x14ac:dyDescent="0.25">
      <c r="A29" s="3" t="s">
        <v>5</v>
      </c>
      <c r="B29" s="3" t="s">
        <v>7</v>
      </c>
      <c r="C29" s="3">
        <v>2021</v>
      </c>
      <c r="D29" s="7">
        <v>735</v>
      </c>
      <c r="E29" s="9">
        <v>5463</v>
      </c>
      <c r="F29" s="5">
        <f t="shared" si="2"/>
        <v>0.13454146073585943</v>
      </c>
      <c r="G29" s="3"/>
      <c r="H29" s="5">
        <v>0.10018646420204926</v>
      </c>
      <c r="I29" s="11">
        <f t="shared" si="1"/>
        <v>3.4354996533810175E-2</v>
      </c>
    </row>
    <row r="30" spans="1:9" x14ac:dyDescent="0.25">
      <c r="A30" s="3" t="s">
        <v>5</v>
      </c>
      <c r="B30" s="3" t="s">
        <v>7</v>
      </c>
      <c r="C30" s="3">
        <v>2022</v>
      </c>
      <c r="D30" s="7">
        <v>878</v>
      </c>
      <c r="E30" s="9">
        <v>5718</v>
      </c>
      <c r="F30" s="5">
        <f t="shared" si="2"/>
        <v>0.15355019237495629</v>
      </c>
      <c r="G30" s="3"/>
      <c r="H30" s="5">
        <v>0.10777197980919767</v>
      </c>
      <c r="I30" s="11">
        <f t="shared" si="1"/>
        <v>4.5778212565758619E-2</v>
      </c>
    </row>
    <row r="31" spans="1:9" x14ac:dyDescent="0.25">
      <c r="A31" s="3" t="s">
        <v>5</v>
      </c>
      <c r="B31" s="3" t="s">
        <v>7</v>
      </c>
      <c r="C31" s="3">
        <v>2023</v>
      </c>
      <c r="D31" s="7">
        <v>1031</v>
      </c>
      <c r="E31" s="9">
        <v>6670</v>
      </c>
      <c r="F31" s="5">
        <f>D31/E31</f>
        <v>0.1545727136431784</v>
      </c>
      <c r="G31" s="3"/>
      <c r="H31" s="5">
        <v>0.11178779379920495</v>
      </c>
      <c r="I31" s="11">
        <f t="shared" si="1"/>
        <v>4.2784919843973451E-2</v>
      </c>
    </row>
    <row r="32" spans="1:9" x14ac:dyDescent="0.25">
      <c r="A32" s="3" t="s">
        <v>5</v>
      </c>
      <c r="B32" s="3" t="s">
        <v>7</v>
      </c>
      <c r="C32" s="3">
        <v>2024</v>
      </c>
      <c r="D32" s="7">
        <v>1181</v>
      </c>
      <c r="E32" s="9">
        <v>7646</v>
      </c>
      <c r="F32" s="5">
        <f>D32/E32</f>
        <v>0.15445984828668585</v>
      </c>
      <c r="G32" s="3"/>
      <c r="H32" s="5">
        <v>0.11639984949382383</v>
      </c>
      <c r="I32" s="11">
        <f t="shared" si="1"/>
        <v>3.8059998792862024E-2</v>
      </c>
    </row>
    <row r="33" spans="1:9" x14ac:dyDescent="0.25">
      <c r="H33" s="5"/>
      <c r="I33" s="11"/>
    </row>
    <row r="34" spans="1:9" x14ac:dyDescent="0.25">
      <c r="A34" t="s">
        <v>5</v>
      </c>
      <c r="B34" t="s">
        <v>11</v>
      </c>
      <c r="C34">
        <v>2010</v>
      </c>
      <c r="D34" s="12">
        <v>3462</v>
      </c>
      <c r="E34" s="12">
        <v>45733</v>
      </c>
      <c r="F34" s="13">
        <v>7.5700260205978184E-2</v>
      </c>
      <c r="H34" s="5">
        <v>8.1182888212455478E-2</v>
      </c>
      <c r="I34" s="11">
        <f t="shared" ref="I33:I48" si="3">F34-H34</f>
        <v>-5.4826280064772942E-3</v>
      </c>
    </row>
    <row r="35" spans="1:9" x14ac:dyDescent="0.25">
      <c r="A35" t="s">
        <v>5</v>
      </c>
      <c r="B35" t="s">
        <v>11</v>
      </c>
      <c r="C35">
        <v>2011</v>
      </c>
      <c r="D35" s="12">
        <v>3091</v>
      </c>
      <c r="E35" s="12">
        <v>40775</v>
      </c>
      <c r="F35" s="13">
        <v>7.58062538320049E-2</v>
      </c>
      <c r="H35" s="5">
        <v>8.6628160748323191E-2</v>
      </c>
      <c r="I35" s="11">
        <f t="shared" si="3"/>
        <v>-1.0821906916318291E-2</v>
      </c>
    </row>
    <row r="36" spans="1:9" x14ac:dyDescent="0.25">
      <c r="A36" t="s">
        <v>5</v>
      </c>
      <c r="B36" t="s">
        <v>11</v>
      </c>
      <c r="C36">
        <v>2012</v>
      </c>
      <c r="D36" s="12">
        <v>2932</v>
      </c>
      <c r="E36" s="12">
        <v>35371</v>
      </c>
      <c r="F36" s="13">
        <v>8.289276525967601E-2</v>
      </c>
      <c r="H36" s="5">
        <v>8.5759141250755067E-2</v>
      </c>
      <c r="I36" s="11">
        <f t="shared" si="3"/>
        <v>-2.8663759910790565E-3</v>
      </c>
    </row>
    <row r="37" spans="1:9" x14ac:dyDescent="0.25">
      <c r="A37" t="s">
        <v>5</v>
      </c>
      <c r="B37" t="s">
        <v>11</v>
      </c>
      <c r="C37">
        <v>2013</v>
      </c>
      <c r="D37" s="12">
        <v>2946</v>
      </c>
      <c r="E37" s="12">
        <v>32275</v>
      </c>
      <c r="F37" s="13">
        <v>9.127807900852053E-2</v>
      </c>
      <c r="H37" s="5">
        <v>8.7033166630137909E-2</v>
      </c>
      <c r="I37" s="11">
        <f t="shared" si="3"/>
        <v>4.2449123783826204E-3</v>
      </c>
    </row>
    <row r="38" spans="1:9" x14ac:dyDescent="0.25">
      <c r="A38" t="s">
        <v>5</v>
      </c>
      <c r="B38" t="s">
        <v>11</v>
      </c>
      <c r="C38">
        <v>2014</v>
      </c>
      <c r="D38" s="12">
        <v>2987</v>
      </c>
      <c r="E38" s="12">
        <v>32882</v>
      </c>
      <c r="F38" s="13">
        <v>9.0839973237637608E-2</v>
      </c>
      <c r="H38" s="5">
        <v>9.2083608390395588E-2</v>
      </c>
      <c r="I38" s="11">
        <f t="shared" si="3"/>
        <v>-1.2436351527579798E-3</v>
      </c>
    </row>
    <row r="39" spans="1:9" x14ac:dyDescent="0.25">
      <c r="A39" t="s">
        <v>5</v>
      </c>
      <c r="B39" t="s">
        <v>11</v>
      </c>
      <c r="C39">
        <v>2015</v>
      </c>
      <c r="D39" s="12">
        <v>3394</v>
      </c>
      <c r="E39" s="12">
        <v>35191</v>
      </c>
      <c r="F39" s="13">
        <v>9.6445113807507601E-2</v>
      </c>
      <c r="H39" s="5">
        <v>9.5188144880089073E-2</v>
      </c>
      <c r="I39" s="11">
        <f t="shared" si="3"/>
        <v>1.2569689274185281E-3</v>
      </c>
    </row>
    <row r="40" spans="1:9" x14ac:dyDescent="0.25">
      <c r="A40" t="s">
        <v>5</v>
      </c>
      <c r="B40" t="s">
        <v>11</v>
      </c>
      <c r="C40">
        <v>2016</v>
      </c>
      <c r="D40" s="12">
        <v>3415</v>
      </c>
      <c r="E40" s="12">
        <v>36086</v>
      </c>
      <c r="F40" s="13">
        <v>9.4635038519093273E-2</v>
      </c>
      <c r="H40" s="5">
        <v>0.10049573308863879</v>
      </c>
      <c r="I40" s="11">
        <f t="shared" si="3"/>
        <v>-5.8606945695455215E-3</v>
      </c>
    </row>
    <row r="41" spans="1:9" x14ac:dyDescent="0.25">
      <c r="A41" t="s">
        <v>5</v>
      </c>
      <c r="B41" t="s">
        <v>11</v>
      </c>
      <c r="C41">
        <v>2017</v>
      </c>
      <c r="D41" s="12">
        <v>3183</v>
      </c>
      <c r="E41" s="12">
        <v>34022</v>
      </c>
      <c r="F41" s="13">
        <v>9.3557110105226035E-2</v>
      </c>
      <c r="H41" s="5">
        <v>0.1028561506274471</v>
      </c>
      <c r="I41" s="11">
        <f t="shared" si="3"/>
        <v>-9.2990405222210665E-3</v>
      </c>
    </row>
    <row r="42" spans="1:9" x14ac:dyDescent="0.25">
      <c r="A42" t="s">
        <v>5</v>
      </c>
      <c r="B42" t="s">
        <v>11</v>
      </c>
      <c r="C42">
        <v>2018</v>
      </c>
      <c r="D42" s="12">
        <v>2740</v>
      </c>
      <c r="E42" s="12">
        <v>32050</v>
      </c>
      <c r="F42" s="13">
        <v>8.5491419656786277E-2</v>
      </c>
      <c r="H42" s="5">
        <v>0.1018436592703251</v>
      </c>
      <c r="I42" s="11">
        <f t="shared" si="3"/>
        <v>-1.6352239613538821E-2</v>
      </c>
    </row>
    <row r="43" spans="1:9" x14ac:dyDescent="0.25">
      <c r="A43" t="s">
        <v>5</v>
      </c>
      <c r="B43" t="s">
        <v>11</v>
      </c>
      <c r="C43">
        <v>2019</v>
      </c>
      <c r="D43" s="12">
        <v>3350</v>
      </c>
      <c r="E43" s="12">
        <v>40905</v>
      </c>
      <c r="F43" s="13">
        <v>8.1897078596748565E-2</v>
      </c>
      <c r="H43" s="5">
        <v>0.10321050830848251</v>
      </c>
      <c r="I43" s="11">
        <f t="shared" si="3"/>
        <v>-2.1313429711733944E-2</v>
      </c>
    </row>
    <row r="44" spans="1:9" x14ac:dyDescent="0.25">
      <c r="A44" t="s">
        <v>5</v>
      </c>
      <c r="B44" t="s">
        <v>11</v>
      </c>
      <c r="C44">
        <v>2020</v>
      </c>
      <c r="D44" s="12">
        <v>3077</v>
      </c>
      <c r="E44" s="12">
        <v>39116</v>
      </c>
      <c r="F44" s="13">
        <v>7.8663462521730232E-2</v>
      </c>
      <c r="H44" s="5">
        <v>9.8955878029023281E-2</v>
      </c>
      <c r="I44" s="11">
        <f t="shared" si="3"/>
        <v>-2.0292415507293049E-2</v>
      </c>
    </row>
    <row r="45" spans="1:9" x14ac:dyDescent="0.25">
      <c r="A45" t="s">
        <v>5</v>
      </c>
      <c r="B45" t="s">
        <v>11</v>
      </c>
      <c r="C45">
        <v>2021</v>
      </c>
      <c r="D45" s="12">
        <v>3585</v>
      </c>
      <c r="E45" s="12">
        <v>41522</v>
      </c>
      <c r="F45" s="13">
        <v>8.6339771687298297E-2</v>
      </c>
      <c r="H45" s="5">
        <v>0.10018646420204926</v>
      </c>
      <c r="I45" s="11">
        <f t="shared" si="3"/>
        <v>-1.3846692514750958E-2</v>
      </c>
    </row>
    <row r="46" spans="1:9" x14ac:dyDescent="0.25">
      <c r="A46" t="s">
        <v>5</v>
      </c>
      <c r="B46" t="s">
        <v>11</v>
      </c>
      <c r="C46">
        <v>2022</v>
      </c>
      <c r="D46" s="12">
        <v>3426</v>
      </c>
      <c r="E46" s="12">
        <v>38362</v>
      </c>
      <c r="F46" s="13">
        <v>8.9307126844272972E-2</v>
      </c>
      <c r="H46" s="5">
        <v>0.10777197980919767</v>
      </c>
      <c r="I46" s="11">
        <f t="shared" si="3"/>
        <v>-1.84648529649247E-2</v>
      </c>
    </row>
    <row r="47" spans="1:9" x14ac:dyDescent="0.25">
      <c r="A47" t="s">
        <v>5</v>
      </c>
      <c r="B47" t="s">
        <v>11</v>
      </c>
      <c r="C47">
        <v>2023</v>
      </c>
      <c r="D47" s="12">
        <v>2664</v>
      </c>
      <c r="E47" s="12">
        <v>28807</v>
      </c>
      <c r="F47" s="13">
        <v>9.2477522824313541E-2</v>
      </c>
      <c r="H47" s="5">
        <v>0.11178779379920495</v>
      </c>
      <c r="I47" s="11">
        <f t="shared" si="3"/>
        <v>-1.9310270974891408E-2</v>
      </c>
    </row>
    <row r="48" spans="1:9" x14ac:dyDescent="0.25">
      <c r="A48" t="s">
        <v>5</v>
      </c>
      <c r="B48" t="s">
        <v>11</v>
      </c>
      <c r="C48">
        <v>2024</v>
      </c>
      <c r="D48" s="12">
        <v>2526</v>
      </c>
      <c r="E48" s="12">
        <v>27542</v>
      </c>
      <c r="F48" s="13">
        <v>9.1714472442088441E-2</v>
      </c>
      <c r="H48" s="5">
        <v>0.11639984949382383</v>
      </c>
      <c r="I48" s="11">
        <f t="shared" si="3"/>
        <v>-2.4685377051735388E-2</v>
      </c>
    </row>
  </sheetData>
  <phoneticPr fontId="9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86fa4fd-3a0a-4bc6-85ad-6a69011c7266">
      <Terms xmlns="http://schemas.microsoft.com/office/infopath/2007/PartnerControls"/>
    </lcf76f155ced4ddcb4097134ff3c332f>
    <TaxCatchAll xmlns="0f8c3772-6fe0-437f-aa0a-e4d47c605e0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303197786C01749ACF7E5ACD02D6B0E" ma:contentTypeVersion="17" ma:contentTypeDescription="Create a new document." ma:contentTypeScope="" ma:versionID="371e8001342f34885ff841a1bbebc9b1">
  <xsd:schema xmlns:xsd="http://www.w3.org/2001/XMLSchema" xmlns:xs="http://www.w3.org/2001/XMLSchema" xmlns:p="http://schemas.microsoft.com/office/2006/metadata/properties" xmlns:ns2="686fa4fd-3a0a-4bc6-85ad-6a69011c7266" xmlns:ns3="0f8c3772-6fe0-437f-aa0a-e4d47c605e05" targetNamespace="http://schemas.microsoft.com/office/2006/metadata/properties" ma:root="true" ma:fieldsID="5c81aa601ac425c609bc0e42925e49b9" ns2:_="" ns3:_="">
    <xsd:import namespace="686fa4fd-3a0a-4bc6-85ad-6a69011c7266"/>
    <xsd:import namespace="0f8c3772-6fe0-437f-aa0a-e4d47c605e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6fa4fd-3a0a-4bc6-85ad-6a69011c726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1eeb44a9-b924-44d0-8ed9-f8b504a4bac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8c3772-6fe0-437f-aa0a-e4d47c605e05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dba9376-be5e-4411-95a3-4004c5a150e8}" ma:internalName="TaxCatchAll" ma:showField="CatchAllData" ma:web="0f8c3772-6fe0-437f-aa0a-e4d47c605e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D88DE2-D7E2-43DC-A3AB-8C68E8044B6C}">
  <ds:schemaRefs>
    <ds:schemaRef ds:uri="http://schemas.openxmlformats.org/package/2006/metadata/core-properties"/>
    <ds:schemaRef ds:uri="686fa4fd-3a0a-4bc6-85ad-6a69011c7266"/>
    <ds:schemaRef ds:uri="0f8c3772-6fe0-437f-aa0a-e4d47c605e05"/>
    <ds:schemaRef ds:uri="http://schemas.microsoft.com/office/2006/metadata/properties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purl.org/dc/dcmitype/"/>
    <ds:schemaRef ds:uri="http://www.w3.org/XML/1998/namespace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F4D74229-9E90-4527-ADDF-488CEE9D6D4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746F5C1-ED05-4A32-BCD3-913F17496A9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86fa4fd-3a0a-4bc6-85ad-6a69011c7266"/>
    <ds:schemaRef ds:uri="0f8c3772-6fe0-437f-aa0a-e4d47c605e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Conviction rates</vt:lpstr>
    </vt:vector>
  </TitlesOfParts>
  <Company>University of Oxford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Brindle</dc:creator>
  <cp:lastModifiedBy>Ben Brindle</cp:lastModifiedBy>
  <dcterms:created xsi:type="dcterms:W3CDTF">2024-10-31T17:38:53Z</dcterms:created>
  <dcterms:modified xsi:type="dcterms:W3CDTF">2026-04-09T08:12:08Z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0x010100C303197786C01749ACF7E5ACD02D6B0E</vt:lpwstr>
  </property>
  <property fmtid="{D5CDD505-2E9C-101B-9397-08002B2CF9AE}" pid="3" name="MediaServiceImageTags">
    <vt:lpwstr/>
  </property>
</Properties>
</file>